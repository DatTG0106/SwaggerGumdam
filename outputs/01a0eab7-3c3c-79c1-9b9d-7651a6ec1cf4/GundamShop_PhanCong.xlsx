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d64fb1bfa143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kết" sheetId="1" r:id="R00125c94a74b40b8"/>
    <x:sheet xmlns:r="http://schemas.openxmlformats.org/officeDocument/2006/relationships" name="Chức năng thành viên" sheetId="2" r:id="Rca801122c30e4f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82230"/>
      <x:name val="Arial"/>
    </x:font>
    <x:font>
      <x:b/>
      <x:sz val="15"/>
      <x:color rgb="FF172B4D"/>
      <x:name val="Arial"/>
    </x:font>
    <x:font>
      <x:b/>
      <x:sz val="10"/>
      <x:color rgb="FFFFFFFF"/>
      <x:name val="Arial"/>
    </x:font>
    <x:font>
      <x:i/>
      <x:sz val="10"/>
      <x:color rgb="FF52617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2B4D"/>
      </x:patternFill>
    </x:fill>
  </x:fills>
  <x:borders count="11">
    <x:border/>
    <x:border>
      <x:bottom style="double">
        <x:color rgb="FF98A6B8"/>
      </x:bottom>
    </x:border>
    <x:border>
      <x:right style="thin">
        <x:color rgb="FFE6EAF0"/>
      </x:right>
      <x:bottom style="thin">
        <x:color rgb="FFE6EAF0"/>
      </x:bottom>
    </x:border>
    <x:border>
      <x:left style="thin">
        <x:color rgb="FFE6EAF0"/>
      </x:left>
      <x:right style="thin">
        <x:color rgb="FFE6EAF0"/>
      </x:right>
      <x:bottom style="thin">
        <x:color rgb="FFE6EAF0"/>
      </x:bottom>
    </x:border>
    <x:border>
      <x:left style="thin">
        <x:color rgb="FFE6EAF0"/>
      </x:left>
      <x:bottom style="thin">
        <x:color rgb="FFE6EAF0"/>
      </x:bottom>
    </x:border>
    <x:border>
      <x:right style="thin">
        <x:color rgb="FFE6EAF0"/>
      </x:right>
      <x:top style="thin">
        <x:color rgb="FFE6EAF0"/>
      </x:top>
      <x:bottom style="thin">
        <x:color rgb="FFE6EAF0"/>
      </x:bottom>
    </x:border>
    <x:border>
      <x:left style="thin">
        <x:color rgb="FFE6EAF0"/>
      </x:left>
      <x:right style="thin">
        <x:color rgb="FFE6EAF0"/>
      </x:right>
      <x:top style="thin">
        <x:color rgb="FFE6EAF0"/>
      </x:top>
      <x:bottom style="thin">
        <x:color rgb="FFE6EAF0"/>
      </x:bottom>
    </x:border>
    <x:border>
      <x:left style="thin">
        <x:color rgb="FFE6EAF0"/>
      </x:left>
      <x:top style="thin">
        <x:color rgb="FFE6EAF0"/>
      </x:top>
      <x:bottom style="thin">
        <x:color rgb="FFE6EAF0"/>
      </x:bottom>
    </x:border>
    <x:border>
      <x:right style="thin">
        <x:color rgb="FFE6EAF0"/>
      </x:right>
      <x:top style="thin">
        <x:color rgb="FFE6EAF0"/>
      </x:top>
    </x:border>
    <x:border>
      <x:left style="thin">
        <x:color rgb="FFE6EAF0"/>
      </x:left>
      <x:right style="thin">
        <x:color rgb="FFE6EAF0"/>
      </x:right>
      <x:top style="thin">
        <x:color rgb="FFE6EAF0"/>
      </x:top>
    </x:border>
    <x:border>
      <x:left style="thin">
        <x:color rgb="FFE6EAF0"/>
      </x:left>
      <x:top style="thin">
        <x:color rgb="FFE6EAF0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271d90aee642d3" /><Relationship Type="http://schemas.openxmlformats.org/officeDocument/2006/relationships/theme" Target="/xl/theme/theme1.xml" Id="R9743f1358a644c84" /><Relationship Type="http://schemas.openxmlformats.org/officeDocument/2006/relationships/sharedStrings" Target="/xl/sharedStrings.xml" Id="R9c34d6761f5f4e83" /><Relationship Type="http://schemas.openxmlformats.org/officeDocument/2006/relationships/worksheet" Target="/xl/worksheets/sheet1.xml" Id="R00125c94a74b40b8" /><Relationship Type="http://schemas.openxmlformats.org/officeDocument/2006/relationships/worksheet" Target="/xl/worksheets/sheet2.xml" Id="Rca801122c30e4fde" /></Relationships>
</file>

<file path=xl/tables/table1.xml><?xml version="1.0" encoding="utf-8"?>
<x:table xmlns:x="http://schemas.openxmlformats.org/spreadsheetml/2006/main" id="1" name="FunctionsTable" displayName="FunctionsTable" ref="A4:H52" headerRowCount="1" totalsRowCount="0" totalsRowShown="0">
  <x:tableColumns count="8">
    <x:tableColumn id="1" name="Thành viên"/>
    <x:tableColumn id="2" name="Phân hệ"/>
    <x:tableColumn id="3" name="Thực thể CRUD"/>
    <x:tableColumn id="4" name="Tên chức năng"/>
    <x:tableColumn id="5" name="Method"/>
    <x:tableColumn id="6" name="Endpoint"/>
    <x:tableColumn id="7" name="Quyền"/>
    <x:tableColumn id="8" name="Thao tá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43d487b6c14d73" /></Relationships>
</file>

<file path=xl/worksheets/sheet1.xml><?xml version="1.0" encoding="utf-8"?>
<x:worksheet xmlns:x="http://schemas.openxmlformats.org/spreadsheetml/2006/main">
  <x:sheetPr>
    <x:tabColor rgb="FF172B4D"/>
  </x:sheetPr>
  <x:sheetViews>
    <x:sheetView showGridLines="0" workbookViewId="0"/>
  </x:sheetViews>
  <x:sheetFormatPr defaultRowHeight="15"/>
  <x:cols>
    <x:col min="1" max="1" width="20" hidden="0" customWidth="1"/>
    <x:col min="2" max="2" width="2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3" hidden="0" customWidth="1"/>
    <x:col min="8" max="8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Gundam Shop API · Phân công nhóm</x:v>
      </x:c>
      <x:c r="B2" s="1"/>
      <x:c r="C2" s="1"/>
      <x:c r="D2" s="1"/>
      <x:c r="E2" s="1"/>
      <x:c r="F2" s="1"/>
      <x:c r="G2" s="1"/>
      <x:c r="H2" s="1"/>
    </x:row>
    <x:row r="3">
      <x:c r="A3" s="3"/>
      <x:c r="B3" s="3"/>
      <x:c r="C3" s="3"/>
      <x:c r="D3" s="3"/>
      <x:c r="E3" s="3"/>
      <x:c r="F3" s="3"/>
      <x:c r="G3" s="3"/>
      <x:c r="H3" s="3"/>
    </x:row>
    <x:row r="4" ht="28" customHeight="1">
      <x:c r="A4" s="7" t="str">
        <x:v>Thành viên</x:v>
      </x:c>
      <x:c r="B4" s="7" t="str">
        <x:v>Bộ CRUD kiểm tra</x:v>
      </x:c>
      <x:c r="C4" s="7" t="str">
        <x:v>Create</x:v>
      </x:c>
      <x:c r="D4" s="7" t="str">
        <x:v>Read</x:v>
      </x:c>
      <x:c r="E4" s="7" t="str">
        <x:v>Update</x:v>
      </x:c>
      <x:c r="F4" s="7" t="str">
        <x:v>Delete</x:v>
      </x:c>
      <x:c r="G4" s="7" t="str">
        <x:v>Kết quả</x:v>
      </x:c>
      <x:c r="H4" s="7" t="str">
        <x:v>Tổng chức năng</x:v>
      </x:c>
    </x:row>
    <x:row r="5" ht="25" customHeight="1">
      <x:c r="A5" s="9" t="str">
        <x:v>Thành viên 1</x:v>
      </x:c>
      <x:c r="B5" s="10" t="str">
        <x:v>Address</x:v>
      </x:c>
      <x:c r="C5" s="10" t="n">
        <x:f>COUNTIFS('Chức năng thành viên'!$A$5:$A$52,$A5,'Chức năng thành viên'!$C$5:$C$52,$B5,'Chức năng thành viên'!$H$5:$H$52,"Create")</x:f>
        <x:v>1</x:v>
      </x:c>
      <x:c r="D5" s="10" t="n">
        <x:f>COUNTIFS('Chức năng thành viên'!$A$5:$A$52,$A5,'Chức năng thành viên'!$C$5:$C$52,$B5,'Chức năng thành viên'!$H$5:$H$52,"Read")</x:f>
        <x:v>2</x:v>
      </x:c>
      <x:c r="E5" s="10" t="n">
        <x:f>COUNTIFS('Chức năng thành viên'!$A$5:$A$52,$A5,'Chức năng thành viên'!$C$5:$C$52,$B5,'Chức năng thành viên'!$H$5:$H$52,"Update")</x:f>
        <x:v>1</x:v>
      </x:c>
      <x:c r="F5" s="10" t="n">
        <x:f>COUNTIFS('Chức năng thành viên'!$A$5:$A$52,$A5,'Chức năng thành viên'!$C$5:$C$52,$B5,'Chức năng thành viên'!$H$5:$H$52,"Delete")</x:f>
        <x:v>1</x:v>
      </x:c>
      <x:c r="G5" s="10" t="str">
        <x:f>IF(MIN(C5:F5)&gt;=1,"Đạt","Thiếu")</x:f>
        <x:v>Đạt</x:v>
      </x:c>
      <x:c r="H5" s="11" t="n">
        <x:f>COUNTIFS('Chức năng thành viên'!$A$5:$A$52,$A5)</x:f>
        <x:v>8</x:v>
      </x:c>
    </x:row>
    <x:row r="6" ht="25" customHeight="1">
      <x:c r="A6" s="12" t="str">
        <x:v>Thành viên 2</x:v>
      </x:c>
      <x:c r="B6" s="13" t="str">
        <x:v>Product</x:v>
      </x:c>
      <x:c r="C6" s="13" t="n">
        <x:f>COUNTIFS('Chức năng thành viên'!$A$5:$A$52,$A6,'Chức năng thành viên'!$C$5:$C$52,$B6,'Chức năng thành viên'!$H$5:$H$52,"Create")</x:f>
        <x:v>1</x:v>
      </x:c>
      <x:c r="D6" s="13" t="n">
        <x:f>COUNTIFS('Chức năng thành viên'!$A$5:$A$52,$A6,'Chức năng thành viên'!$C$5:$C$52,$B6,'Chức năng thành viên'!$H$5:$H$52,"Read")</x:f>
        <x:v>2</x:v>
      </x:c>
      <x:c r="E6" s="13" t="n">
        <x:f>COUNTIFS('Chức năng thành viên'!$A$5:$A$52,$A6,'Chức năng thành viên'!$C$5:$C$52,$B6,'Chức năng thành viên'!$H$5:$H$52,"Update")</x:f>
        <x:v>1</x:v>
      </x:c>
      <x:c r="F6" s="13" t="n">
        <x:f>COUNTIFS('Chức năng thành viên'!$A$5:$A$52,$A6,'Chức năng thành viên'!$C$5:$C$52,$B6,'Chức năng thành viên'!$H$5:$H$52,"Delete")</x:f>
        <x:v>1</x:v>
      </x:c>
      <x:c r="G6" s="13" t="str">
        <x:f>IF(MIN(C6:F6)&gt;=1,"Đạt","Thiếu")</x:f>
        <x:v>Đạt</x:v>
      </x:c>
      <x:c r="H6" s="14" t="n">
        <x:f>COUNTIFS('Chức năng thành viên'!$A$5:$A$52,$A6)</x:f>
        <x:v>11</x:v>
      </x:c>
    </x:row>
    <x:row r="7" ht="25" customHeight="1">
      <x:c r="A7" s="12" t="str">
        <x:v>Thành viên 3</x:v>
      </x:c>
      <x:c r="B7" s="13" t="str">
        <x:v>Variant</x:v>
      </x:c>
      <x:c r="C7" s="13" t="n">
        <x:f>COUNTIFS('Chức năng thành viên'!$A$5:$A$52,$A7,'Chức năng thành viên'!$C$5:$C$52,$B7,'Chức năng thành viên'!$H$5:$H$52,"Create")</x:f>
        <x:v>1</x:v>
      </x:c>
      <x:c r="D7" s="13" t="n">
        <x:f>COUNTIFS('Chức năng thành viên'!$A$5:$A$52,$A7,'Chức năng thành viên'!$C$5:$C$52,$B7,'Chức năng thành viên'!$H$5:$H$52,"Read")</x:f>
        <x:v>2</x:v>
      </x:c>
      <x:c r="E7" s="13" t="n">
        <x:f>COUNTIFS('Chức năng thành viên'!$A$5:$A$52,$A7,'Chức năng thành viên'!$C$5:$C$52,$B7,'Chức năng thành viên'!$H$5:$H$52,"Update")</x:f>
        <x:v>1</x:v>
      </x:c>
      <x:c r="F7" s="13" t="n">
        <x:f>COUNTIFS('Chức năng thành viên'!$A$5:$A$52,$A7,'Chức năng thành viên'!$C$5:$C$52,$B7,'Chức năng thành viên'!$H$5:$H$52,"Delete")</x:f>
        <x:v>1</x:v>
      </x:c>
      <x:c r="G7" s="13" t="str">
        <x:f>IF(MIN(C7:F7)&gt;=1,"Đạt","Thiếu")</x:f>
        <x:v>Đạt</x:v>
      </x:c>
      <x:c r="H7" s="14" t="n">
        <x:f>COUNTIFS('Chức năng thành viên'!$A$5:$A$52,$A7)</x:f>
        <x:v>6</x:v>
      </x:c>
    </x:row>
    <x:row r="8" ht="25" customHeight="1">
      <x:c r="A8" s="12" t="str">
        <x:v>Thành viên 4</x:v>
      </x:c>
      <x:c r="B8" s="13" t="str">
        <x:v>CartItem</x:v>
      </x:c>
      <x:c r="C8" s="13" t="n">
        <x:f>COUNTIFS('Chức năng thành viên'!$A$5:$A$52,$A8,'Chức năng thành viên'!$C$5:$C$52,$B8,'Chức năng thành viên'!$H$5:$H$52,"Create")</x:f>
        <x:v>1</x:v>
      </x:c>
      <x:c r="D8" s="13" t="n">
        <x:f>COUNTIFS('Chức năng thành viên'!$A$5:$A$52,$A8,'Chức năng thành viên'!$C$5:$C$52,$B8,'Chức năng thành viên'!$H$5:$H$52,"Read")</x:f>
        <x:v>2</x:v>
      </x:c>
      <x:c r="E8" s="13" t="n">
        <x:f>COUNTIFS('Chức năng thành viên'!$A$5:$A$52,$A8,'Chức năng thành viên'!$C$5:$C$52,$B8,'Chức năng thành viên'!$H$5:$H$52,"Update")</x:f>
        <x:v>1</x:v>
      </x:c>
      <x:c r="F8" s="13" t="n">
        <x:f>COUNTIFS('Chức năng thành viên'!$A$5:$A$52,$A8,'Chức năng thành viên'!$C$5:$C$52,$B8,'Chức năng thành viên'!$H$5:$H$52,"Delete")</x:f>
        <x:v>1</x:v>
      </x:c>
      <x:c r="G8" s="13" t="str">
        <x:f>IF(MIN(C8:F8)&gt;=1,"Đạt","Thiếu")</x:f>
        <x:v>Đạt</x:v>
      </x:c>
      <x:c r="H8" s="14" t="n">
        <x:f>COUNTIFS('Chức năng thành viên'!$A$5:$A$52,$A8)</x:f>
        <x:v>10</x:v>
      </x:c>
    </x:row>
    <x:row r="9" ht="25" customHeight="1">
      <x:c r="A9" s="15" t="str">
        <x:v>Thành viên 5</x:v>
      </x:c>
      <x:c r="B9" s="16" t="str">
        <x:v>Voucher</x:v>
      </x:c>
      <x:c r="C9" s="16" t="n">
        <x:f>COUNTIFS('Chức năng thành viên'!$A$5:$A$52,$A9,'Chức năng thành viên'!$C$5:$C$52,$B9,'Chức năng thành viên'!$H$5:$H$52,"Create")</x:f>
        <x:v>1</x:v>
      </x:c>
      <x:c r="D9" s="16" t="n">
        <x:f>COUNTIFS('Chức năng thành viên'!$A$5:$A$52,$A9,'Chức năng thành viên'!$C$5:$C$52,$B9,'Chức năng thành viên'!$H$5:$H$52,"Read")</x:f>
        <x:v>2</x:v>
      </x:c>
      <x:c r="E9" s="16" t="n">
        <x:f>COUNTIFS('Chức năng thành viên'!$A$5:$A$52,$A9,'Chức năng thành viên'!$C$5:$C$52,$B9,'Chức năng thành viên'!$H$5:$H$52,"Update")</x:f>
        <x:v>1</x:v>
      </x:c>
      <x:c r="F9" s="16" t="n">
        <x:f>COUNTIFS('Chức năng thành viên'!$A$5:$A$52,$A9,'Chức năng thành viên'!$C$5:$C$52,$B9,'Chức năng thành viên'!$H$5:$H$52,"Delete")</x:f>
        <x:v>1</x:v>
      </x:c>
      <x:c r="G9" s="16" t="str">
        <x:f>IF(MIN(C9:F9)&gt;=1,"Đạt","Thiếu")</x:f>
        <x:v>Đạt</x:v>
      </x:c>
      <x:c r="H9" s="17" t="n">
        <x:f>COUNTIFS('Chức năng thành viên'!$A$5:$A$52,$A9)</x:f>
        <x:v>13</x:v>
      </x:c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1" t="str">
        <x:v>Tổng chức năng</x:v>
      </x:c>
      <x:c r="B11" s="1"/>
      <x:c r="C11" s="1"/>
      <x:c r="D11" s="1"/>
      <x:c r="E11" s="1"/>
      <x:c r="F11" s="1"/>
      <x:c r="G11" s="1"/>
      <x:c r="H11" s="1" t="n">
        <x:f>SUM(H5:H9)</x:f>
        <x:v>48</x:v>
      </x:c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8" t="str">
        <x:v>Ghi chú: Mỗi người có ít nhất một bộ Create · Read · Update · Delete hoàn chỉnh. Tên thành viên là nhãn tạm.</x:v>
      </x:c>
      <x:c r="B13" s="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</x:sheetData>
  <x:conditionalFormatting sqref="G5:G9">
    <x:cfRule type="containsText" dxfId="0" priority="1" operator="containsText" text="Thiếu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A719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7" hidden="0" customWidth="1"/>
    <x:col min="3" max="3" width="18" hidden="0" customWidth="1"/>
    <x:col min="4" max="4" width="31" hidden="0" customWidth="1"/>
    <x:col min="5" max="5" width="11" hidden="0" customWidth="1"/>
    <x:col min="6" max="6" width="61" hidden="0" customWidth="1"/>
    <x:col min="7" max="7" width="18" hidden="0" customWidth="1"/>
    <x:col min="8" max="8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Danh sách chức năng và endpoint</x:v>
      </x:c>
      <x:c r="B2" s="1"/>
      <x:c r="C2" s="1"/>
      <x:c r="D2" s="1"/>
      <x:c r="E2" s="1"/>
      <x:c r="F2" s="1"/>
      <x:c r="G2" s="1"/>
      <x:c r="H2" s="1"/>
    </x:row>
    <x:row r="3">
      <x:c r="A3" s="3"/>
      <x:c r="B3" s="3"/>
      <x:c r="C3" s="3"/>
      <x:c r="D3" s="3"/>
      <x:c r="E3" s="3"/>
      <x:c r="F3" s="3"/>
      <x:c r="G3" s="3"/>
      <x:c r="H3" s="3"/>
    </x:row>
    <x:row r="4" ht="28" customHeight="1">
      <x:c r="A4" s="7" t="str">
        <x:v>Thành viên</x:v>
      </x:c>
      <x:c r="B4" s="7" t="str">
        <x:v>Phân hệ</x:v>
      </x:c>
      <x:c r="C4" s="7" t="str">
        <x:v>Thực thể CRUD</x:v>
      </x:c>
      <x:c r="D4" s="7" t="str">
        <x:v>Tên chức năng</x:v>
      </x:c>
      <x:c r="E4" s="7" t="str">
        <x:v>Method</x:v>
      </x:c>
      <x:c r="F4" s="7" t="str">
        <x:v>Endpoint</x:v>
      </x:c>
      <x:c r="G4" s="7" t="str">
        <x:v>Quyền</x:v>
      </x:c>
      <x:c r="H4" s="7" t="str">
        <x:v>Thao tác</x:v>
      </x:c>
    </x:row>
    <x:row r="5" ht="22" customHeight="1">
      <x:c r="A5" s="1" t="str">
        <x:v>Thành viên 1</x:v>
      </x:c>
      <x:c r="B5" s="1" t="str">
        <x:v>Tài khoản</x:v>
      </x:c>
      <x:c r="C5" s="1" t="str"/>
      <x:c r="D5" s="1" t="str">
        <x:v>Đăng ký</x:v>
      </x:c>
      <x:c r="E5" s="1" t="str">
        <x:v>POST</x:v>
      </x:c>
      <x:c r="F5" s="1" t="str">
        <x:v>/api/v1/auth/register</x:v>
      </x:c>
      <x:c r="G5" s="1" t="str">
        <x:v>Public</x:v>
      </x:c>
      <x:c r="H5" s="1" t="str">
        <x:v>Other</x:v>
      </x:c>
    </x:row>
    <x:row r="6" ht="22" customHeight="1">
      <x:c r="A6" s="1" t="str">
        <x:v>Thành viên 1</x:v>
      </x:c>
      <x:c r="B6" s="1" t="str">
        <x:v>Tài khoản</x:v>
      </x:c>
      <x:c r="C6" s="1" t="str"/>
      <x:c r="D6" s="1" t="str">
        <x:v>Đăng nhập JWT</x:v>
      </x:c>
      <x:c r="E6" s="1" t="str">
        <x:v>POST</x:v>
      </x:c>
      <x:c r="F6" s="1" t="str">
        <x:v>/api/v1/auth/login</x:v>
      </x:c>
      <x:c r="G6" s="1" t="str">
        <x:v>Public</x:v>
      </x:c>
      <x:c r="H6" s="1" t="str">
        <x:v>Other</x:v>
      </x:c>
    </x:row>
    <x:row r="7" ht="22" customHeight="1">
      <x:c r="A7" s="1" t="str">
        <x:v>Thành viên 1</x:v>
      </x:c>
      <x:c r="B7" s="1" t="str">
        <x:v>Tài khoản</x:v>
      </x:c>
      <x:c r="C7" s="1" t="str"/>
      <x:c r="D7" s="1" t="str">
        <x:v>Xem hồ sơ</x:v>
      </x:c>
      <x:c r="E7" s="1" t="str">
        <x:v>GET</x:v>
      </x:c>
      <x:c r="F7" s="1" t="str">
        <x:v>/api/v1/auth/me</x:v>
      </x:c>
      <x:c r="G7" s="1" t="str">
        <x:v>Customer/Admin</x:v>
      </x:c>
      <x:c r="H7" s="1" t="str">
        <x:v>Other</x:v>
      </x:c>
    </x:row>
    <x:row r="8" ht="22" customHeight="1">
      <x:c r="A8" s="1" t="str">
        <x:v>Thành viên 1</x:v>
      </x:c>
      <x:c r="B8" s="1" t="str">
        <x:v>Địa chỉ</x:v>
      </x:c>
      <x:c r="C8" s="1" t="str">
        <x:v>Address</x:v>
      </x:c>
      <x:c r="D8" s="1" t="str">
        <x:v>Danh sách địa chỉ</x:v>
      </x:c>
      <x:c r="E8" s="1" t="str">
        <x:v>GET</x:v>
      </x:c>
      <x:c r="F8" s="1" t="str">
        <x:v>/api/v1/addresses</x:v>
      </x:c>
      <x:c r="G8" s="1" t="str">
        <x:v>Customer</x:v>
      </x:c>
      <x:c r="H8" s="1" t="str">
        <x:v>Read</x:v>
      </x:c>
    </x:row>
    <x:row r="9" ht="22" customHeight="1">
      <x:c r="A9" s="1" t="str">
        <x:v>Thành viên 1</x:v>
      </x:c>
      <x:c r="B9" s="1" t="str">
        <x:v>Địa chỉ</x:v>
      </x:c>
      <x:c r="C9" s="1" t="str">
        <x:v>Address</x:v>
      </x:c>
      <x:c r="D9" s="1" t="str">
        <x:v>Chi tiết địa chỉ</x:v>
      </x:c>
      <x:c r="E9" s="1" t="str">
        <x:v>GET</x:v>
      </x:c>
      <x:c r="F9" s="1" t="str">
        <x:v>/api/v1/addresses/{id}</x:v>
      </x:c>
      <x:c r="G9" s="1" t="str">
        <x:v>Customer</x:v>
      </x:c>
      <x:c r="H9" s="1" t="str">
        <x:v>Read</x:v>
      </x:c>
    </x:row>
    <x:row r="10" ht="22" customHeight="1">
      <x:c r="A10" s="1" t="str">
        <x:v>Thành viên 1</x:v>
      </x:c>
      <x:c r="B10" s="1" t="str">
        <x:v>Địa chỉ</x:v>
      </x:c>
      <x:c r="C10" s="1" t="str">
        <x:v>Address</x:v>
      </x:c>
      <x:c r="D10" s="1" t="str">
        <x:v>Thêm địa chỉ</x:v>
      </x:c>
      <x:c r="E10" s="1" t="str">
        <x:v>POST</x:v>
      </x:c>
      <x:c r="F10" s="1" t="str">
        <x:v>/api/v1/addresses</x:v>
      </x:c>
      <x:c r="G10" s="1" t="str">
        <x:v>Customer</x:v>
      </x:c>
      <x:c r="H10" s="1" t="str">
        <x:v>Create</x:v>
      </x:c>
    </x:row>
    <x:row r="11" ht="22" customHeight="1">
      <x:c r="A11" s="1" t="str">
        <x:v>Thành viên 1</x:v>
      </x:c>
      <x:c r="B11" s="1" t="str">
        <x:v>Địa chỉ</x:v>
      </x:c>
      <x:c r="C11" s="1" t="str">
        <x:v>Address</x:v>
      </x:c>
      <x:c r="D11" s="1" t="str">
        <x:v>Sửa địa chỉ</x:v>
      </x:c>
      <x:c r="E11" s="1" t="str">
        <x:v>PUT</x:v>
      </x:c>
      <x:c r="F11" s="1" t="str">
        <x:v>/api/v1/addresses/{id}</x:v>
      </x:c>
      <x:c r="G11" s="1" t="str">
        <x:v>Customer</x:v>
      </x:c>
      <x:c r="H11" s="1" t="str">
        <x:v>Update</x:v>
      </x:c>
    </x:row>
    <x:row r="12" ht="22" customHeight="1">
      <x:c r="A12" s="1" t="str">
        <x:v>Thành viên 1</x:v>
      </x:c>
      <x:c r="B12" s="1" t="str">
        <x:v>Địa chỉ</x:v>
      </x:c>
      <x:c r="C12" s="1" t="str">
        <x:v>Address</x:v>
      </x:c>
      <x:c r="D12" s="1" t="str">
        <x:v>Xóa địa chỉ</x:v>
      </x:c>
      <x:c r="E12" s="1" t="str">
        <x:v>DELETE</x:v>
      </x:c>
      <x:c r="F12" s="1" t="str">
        <x:v>/api/v1/addresses/{id}</x:v>
      </x:c>
      <x:c r="G12" s="1" t="str">
        <x:v>Customer</x:v>
      </x:c>
      <x:c r="H12" s="1" t="str">
        <x:v>Delete</x:v>
      </x:c>
    </x:row>
    <x:row r="13" ht="22" customHeight="1">
      <x:c r="A13" s="1" t="str">
        <x:v>Thành viên 2</x:v>
      </x:c>
      <x:c r="B13" s="1" t="str">
        <x:v>Danh mục</x:v>
      </x:c>
      <x:c r="C13" s="1" t="str">
        <x:v>Category</x:v>
      </x:c>
      <x:c r="D13" s="1" t="str">
        <x:v>Danh sách danh mục</x:v>
      </x:c>
      <x:c r="E13" s="1" t="str">
        <x:v>GET</x:v>
      </x:c>
      <x:c r="F13" s="1" t="str">
        <x:v>/api/v1/categories</x:v>
      </x:c>
      <x:c r="G13" s="1" t="str">
        <x:v>Public</x:v>
      </x:c>
      <x:c r="H13" s="1" t="str">
        <x:v>Read</x:v>
      </x:c>
    </x:row>
    <x:row r="14" ht="22" customHeight="1">
      <x:c r="A14" s="1" t="str">
        <x:v>Thành viên 2</x:v>
      </x:c>
      <x:c r="B14" s="1" t="str">
        <x:v>Danh mục</x:v>
      </x:c>
      <x:c r="C14" s="1" t="str">
        <x:v>Category</x:v>
      </x:c>
      <x:c r="D14" s="1" t="str">
        <x:v>Chi tiết danh mục</x:v>
      </x:c>
      <x:c r="E14" s="1" t="str">
        <x:v>GET</x:v>
      </x:c>
      <x:c r="F14" s="1" t="str">
        <x:v>/api/v1/categories/{id}</x:v>
      </x:c>
      <x:c r="G14" s="1" t="str">
        <x:v>Public</x:v>
      </x:c>
      <x:c r="H14" s="1" t="str">
        <x:v>Read</x:v>
      </x:c>
    </x:row>
    <x:row r="15" ht="22" customHeight="1">
      <x:c r="A15" s="1" t="str">
        <x:v>Thành viên 2</x:v>
      </x:c>
      <x:c r="B15" s="1" t="str">
        <x:v>Danh mục</x:v>
      </x:c>
      <x:c r="C15" s="1" t="str">
        <x:v>Category</x:v>
      </x:c>
      <x:c r="D15" s="1" t="str">
        <x:v>Thêm danh mục</x:v>
      </x:c>
      <x:c r="E15" s="1" t="str">
        <x:v>POST</x:v>
      </x:c>
      <x:c r="F15" s="1" t="str">
        <x:v>/api/v1/categories</x:v>
      </x:c>
      <x:c r="G15" s="1" t="str">
        <x:v>Admin</x:v>
      </x:c>
      <x:c r="H15" s="1" t="str">
        <x:v>Create</x:v>
      </x:c>
    </x:row>
    <x:row r="16" ht="22" customHeight="1">
      <x:c r="A16" s="1" t="str">
        <x:v>Thành viên 2</x:v>
      </x:c>
      <x:c r="B16" s="1" t="str">
        <x:v>Danh mục</x:v>
      </x:c>
      <x:c r="C16" s="1" t="str">
        <x:v>Category</x:v>
      </x:c>
      <x:c r="D16" s="1" t="str">
        <x:v>Sửa danh mục</x:v>
      </x:c>
      <x:c r="E16" s="1" t="str">
        <x:v>PUT</x:v>
      </x:c>
      <x:c r="F16" s="1" t="str">
        <x:v>/api/v1/categories/{id}</x:v>
      </x:c>
      <x:c r="G16" s="1" t="str">
        <x:v>Admin</x:v>
      </x:c>
      <x:c r="H16" s="1" t="str">
        <x:v>Update</x:v>
      </x:c>
    </x:row>
    <x:row r="17" ht="22" customHeight="1">
      <x:c r="A17" s="1" t="str">
        <x:v>Thành viên 2</x:v>
      </x:c>
      <x:c r="B17" s="1" t="str">
        <x:v>Danh mục</x:v>
      </x:c>
      <x:c r="C17" s="1" t="str">
        <x:v>Category</x:v>
      </x:c>
      <x:c r="D17" s="1" t="str">
        <x:v>Ngừng danh mục</x:v>
      </x:c>
      <x:c r="E17" s="1" t="str">
        <x:v>DELETE</x:v>
      </x:c>
      <x:c r="F17" s="1" t="str">
        <x:v>/api/v1/categories/{id}</x:v>
      </x:c>
      <x:c r="G17" s="1" t="str">
        <x:v>Admin</x:v>
      </x:c>
      <x:c r="H17" s="1" t="str">
        <x:v>Delete</x:v>
      </x:c>
    </x:row>
    <x:row r="18" ht="22" customHeight="1">
      <x:c r="A18" s="1" t="str">
        <x:v>Thành viên 2</x:v>
      </x:c>
      <x:c r="B18" s="1" t="str">
        <x:v>Sản phẩm</x:v>
      </x:c>
      <x:c r="C18" s="1" t="str">
        <x:v>Product</x:v>
      </x:c>
      <x:c r="D18" s="1" t="str">
        <x:v>Danh sách sản phẩm</x:v>
      </x:c>
      <x:c r="E18" s="1" t="str">
        <x:v>GET</x:v>
      </x:c>
      <x:c r="F18" s="1" t="str">
        <x:v>/api/v1/products</x:v>
      </x:c>
      <x:c r="G18" s="1" t="str">
        <x:v>Public</x:v>
      </x:c>
      <x:c r="H18" s="1" t="str">
        <x:v>Read</x:v>
      </x:c>
    </x:row>
    <x:row r="19" ht="22" customHeight="1">
      <x:c r="A19" s="1" t="str">
        <x:v>Thành viên 2</x:v>
      </x:c>
      <x:c r="B19" s="1" t="str">
        <x:v>Sản phẩm</x:v>
      </x:c>
      <x:c r="C19" s="1" t="str">
        <x:v>Product</x:v>
      </x:c>
      <x:c r="D19" s="1" t="str">
        <x:v>Chi tiết sản phẩm</x:v>
      </x:c>
      <x:c r="E19" s="1" t="str">
        <x:v>GET</x:v>
      </x:c>
      <x:c r="F19" s="1" t="str">
        <x:v>/api/v1/products/{id}</x:v>
      </x:c>
      <x:c r="G19" s="1" t="str">
        <x:v>Public</x:v>
      </x:c>
      <x:c r="H19" s="1" t="str">
        <x:v>Read</x:v>
      </x:c>
    </x:row>
    <x:row r="20" ht="22" customHeight="1">
      <x:c r="A20" s="1" t="str">
        <x:v>Thành viên 2</x:v>
      </x:c>
      <x:c r="B20" s="1" t="str">
        <x:v>Sản phẩm</x:v>
      </x:c>
      <x:c r="C20" s="1" t="str">
        <x:v>Product</x:v>
      </x:c>
      <x:c r="D20" s="1" t="str">
        <x:v>Thêm sản phẩm</x:v>
      </x:c>
      <x:c r="E20" s="1" t="str">
        <x:v>POST</x:v>
      </x:c>
      <x:c r="F20" s="1" t="str">
        <x:v>/api/v1/products</x:v>
      </x:c>
      <x:c r="G20" s="1" t="str">
        <x:v>Admin</x:v>
      </x:c>
      <x:c r="H20" s="1" t="str">
        <x:v>Create</x:v>
      </x:c>
    </x:row>
    <x:row r="21" ht="22" customHeight="1">
      <x:c r="A21" s="1" t="str">
        <x:v>Thành viên 2</x:v>
      </x:c>
      <x:c r="B21" s="1" t="str">
        <x:v>Sản phẩm</x:v>
      </x:c>
      <x:c r="C21" s="1" t="str">
        <x:v>Product</x:v>
      </x:c>
      <x:c r="D21" s="1" t="str">
        <x:v>Sửa sản phẩm</x:v>
      </x:c>
      <x:c r="E21" s="1" t="str">
        <x:v>PUT</x:v>
      </x:c>
      <x:c r="F21" s="1" t="str">
        <x:v>/api/v1/products/{id}</x:v>
      </x:c>
      <x:c r="G21" s="1" t="str">
        <x:v>Admin</x:v>
      </x:c>
      <x:c r="H21" s="1" t="str">
        <x:v>Update</x:v>
      </x:c>
    </x:row>
    <x:row r="22" ht="22" customHeight="1">
      <x:c r="A22" s="1" t="str">
        <x:v>Thành viên 2</x:v>
      </x:c>
      <x:c r="B22" s="1" t="str">
        <x:v>Sản phẩm</x:v>
      </x:c>
      <x:c r="C22" s="1" t="str">
        <x:v>Product</x:v>
      </x:c>
      <x:c r="D22" s="1" t="str">
        <x:v>Ngừng bán sản phẩm</x:v>
      </x:c>
      <x:c r="E22" s="1" t="str">
        <x:v>DELETE</x:v>
      </x:c>
      <x:c r="F22" s="1" t="str">
        <x:v>/api/v1/products/{id}</x:v>
      </x:c>
      <x:c r="G22" s="1" t="str">
        <x:v>Admin</x:v>
      </x:c>
      <x:c r="H22" s="1" t="str">
        <x:v>Delete</x:v>
      </x:c>
    </x:row>
    <x:row r="23" ht="22" customHeight="1">
      <x:c r="A23" s="1" t="str">
        <x:v>Thành viên 2</x:v>
      </x:c>
      <x:c r="B23" s="1" t="str">
        <x:v>Tìm kiếm</x:v>
      </x:c>
      <x:c r="C23" s="1" t="str"/>
      <x:c r="D23" s="1" t="str">
        <x:v>Lọc/sắp xếp OData</x:v>
      </x:c>
      <x:c r="E23" s="1" t="str">
        <x:v>GET</x:v>
      </x:c>
      <x:c r="F23" s="1" t="str">
        <x:v>/odata/Products</x:v>
      </x:c>
      <x:c r="G23" s="1" t="str">
        <x:v>Public</x:v>
      </x:c>
      <x:c r="H23" s="1" t="str">
        <x:v>Other</x:v>
      </x:c>
    </x:row>
    <x:row r="24" ht="22" customHeight="1">
      <x:c r="A24" s="1" t="str">
        <x:v>Thành viên 3</x:v>
      </x:c>
      <x:c r="B24" s="1" t="str">
        <x:v>SKU</x:v>
      </x:c>
      <x:c r="C24" s="1" t="str">
        <x:v>Variant</x:v>
      </x:c>
      <x:c r="D24" s="1" t="str">
        <x:v>Danh sách SKU theo sản phẩm</x:v>
      </x:c>
      <x:c r="E24" s="1" t="str">
        <x:v>GET</x:v>
      </x:c>
      <x:c r="F24" s="1" t="str">
        <x:v>/api/v1/products/{id}/variants</x:v>
      </x:c>
      <x:c r="G24" s="1" t="str">
        <x:v>Public</x:v>
      </x:c>
      <x:c r="H24" s="1" t="str">
        <x:v>Read</x:v>
      </x:c>
    </x:row>
    <x:row r="25" ht="22" customHeight="1">
      <x:c r="A25" s="1" t="str">
        <x:v>Thành viên 3</x:v>
      </x:c>
      <x:c r="B25" s="1" t="str">
        <x:v>SKU</x:v>
      </x:c>
      <x:c r="C25" s="1" t="str">
        <x:v>Variant</x:v>
      </x:c>
      <x:c r="D25" s="1" t="str">
        <x:v>Chi tiết SKU</x:v>
      </x:c>
      <x:c r="E25" s="1" t="str">
        <x:v>GET</x:v>
      </x:c>
      <x:c r="F25" s="1" t="str">
        <x:v>/api/v1/variants/{id}</x:v>
      </x:c>
      <x:c r="G25" s="1" t="str">
        <x:v>Public</x:v>
      </x:c>
      <x:c r="H25" s="1" t="str">
        <x:v>Read</x:v>
      </x:c>
    </x:row>
    <x:row r="26" ht="22" customHeight="1">
      <x:c r="A26" s="1" t="str">
        <x:v>Thành viên 3</x:v>
      </x:c>
      <x:c r="B26" s="1" t="str">
        <x:v>SKU</x:v>
      </x:c>
      <x:c r="C26" s="1" t="str">
        <x:v>Variant</x:v>
      </x:c>
      <x:c r="D26" s="1" t="str">
        <x:v>Thêm SKU</x:v>
      </x:c>
      <x:c r="E26" s="1" t="str">
        <x:v>POST</x:v>
      </x:c>
      <x:c r="F26" s="1" t="str">
        <x:v>/api/v1/variants</x:v>
      </x:c>
      <x:c r="G26" s="1" t="str">
        <x:v>Admin</x:v>
      </x:c>
      <x:c r="H26" s="1" t="str">
        <x:v>Create</x:v>
      </x:c>
    </x:row>
    <x:row r="27" ht="22" customHeight="1">
      <x:c r="A27" s="1" t="str">
        <x:v>Thành viên 3</x:v>
      </x:c>
      <x:c r="B27" s="1" t="str">
        <x:v>SKU</x:v>
      </x:c>
      <x:c r="C27" s="1" t="str">
        <x:v>Variant</x:v>
      </x:c>
      <x:c r="D27" s="1" t="str">
        <x:v>Sửa SKU</x:v>
      </x:c>
      <x:c r="E27" s="1" t="str">
        <x:v>PUT</x:v>
      </x:c>
      <x:c r="F27" s="1" t="str">
        <x:v>/api/v1/variants/{id}</x:v>
      </x:c>
      <x:c r="G27" s="1" t="str">
        <x:v>Admin</x:v>
      </x:c>
      <x:c r="H27" s="1" t="str">
        <x:v>Update</x:v>
      </x:c>
    </x:row>
    <x:row r="28" ht="22" customHeight="1">
      <x:c r="A28" s="1" t="str">
        <x:v>Thành viên 3</x:v>
      </x:c>
      <x:c r="B28" s="1" t="str">
        <x:v>SKU</x:v>
      </x:c>
      <x:c r="C28" s="1" t="str">
        <x:v>Variant</x:v>
      </x:c>
      <x:c r="D28" s="1" t="str">
        <x:v>Ngừng bán SKU</x:v>
      </x:c>
      <x:c r="E28" s="1" t="str">
        <x:v>DELETE</x:v>
      </x:c>
      <x:c r="F28" s="1" t="str">
        <x:v>/api/v1/variants/{id}</x:v>
      </x:c>
      <x:c r="G28" s="1" t="str">
        <x:v>Admin</x:v>
      </x:c>
      <x:c r="H28" s="1" t="str">
        <x:v>Delete</x:v>
      </x:c>
    </x:row>
    <x:row r="29" ht="22" customHeight="1">
      <x:c r="A29" s="1" t="str">
        <x:v>Thành viên 3</x:v>
      </x:c>
      <x:c r="B29" s="1" t="str">
        <x:v>Tồn kho</x:v>
      </x:c>
      <x:c r="C29" s="1" t="str"/>
      <x:c r="D29" s="1" t="str">
        <x:v>Điều chỉnh tồn kho</x:v>
      </x:c>
      <x:c r="E29" s="1" t="str">
        <x:v>POST</x:v>
      </x:c>
      <x:c r="F29" s="1" t="str">
        <x:v>/api/v1/variants/{id}/stock-adjustments</x:v>
      </x:c>
      <x:c r="G29" s="1" t="str">
        <x:v>Admin</x:v>
      </x:c>
      <x:c r="H29" s="1" t="str">
        <x:v>Other</x:v>
      </x:c>
    </x:row>
    <x:row r="30" ht="22" customHeight="1">
      <x:c r="A30" s="1" t="str">
        <x:v>Thành viên 4</x:v>
      </x:c>
      <x:c r="B30" s="1" t="str">
        <x:v>Giỏ hàng</x:v>
      </x:c>
      <x:c r="C30" s="1" t="str">
        <x:v>CartItem</x:v>
      </x:c>
      <x:c r="D30" s="1" t="str">
        <x:v>Xem giỏ hàng</x:v>
      </x:c>
      <x:c r="E30" s="1" t="str">
        <x:v>GET</x:v>
      </x:c>
      <x:c r="F30" s="1" t="str">
        <x:v>/api/v1/cart/items</x:v>
      </x:c>
      <x:c r="G30" s="1" t="str">
        <x:v>Customer</x:v>
      </x:c>
      <x:c r="H30" s="1" t="str">
        <x:v>Read</x:v>
      </x:c>
    </x:row>
    <x:row r="31" ht="22" customHeight="1">
      <x:c r="A31" s="1" t="str">
        <x:v>Thành viên 4</x:v>
      </x:c>
      <x:c r="B31" s="1" t="str">
        <x:v>Giỏ hàng</x:v>
      </x:c>
      <x:c r="C31" s="1" t="str">
        <x:v>CartItem</x:v>
      </x:c>
      <x:c r="D31" s="1" t="str">
        <x:v>Chi tiết mục giỏ</x:v>
      </x:c>
      <x:c r="E31" s="1" t="str">
        <x:v>GET</x:v>
      </x:c>
      <x:c r="F31" s="1" t="str">
        <x:v>/api/v1/cart/items/{id}</x:v>
      </x:c>
      <x:c r="G31" s="1" t="str">
        <x:v>Customer</x:v>
      </x:c>
      <x:c r="H31" s="1" t="str">
        <x:v>Read</x:v>
      </x:c>
    </x:row>
    <x:row r="32" ht="22" customHeight="1">
      <x:c r="A32" s="1" t="str">
        <x:v>Thành viên 4</x:v>
      </x:c>
      <x:c r="B32" s="1" t="str">
        <x:v>Giỏ hàng</x:v>
      </x:c>
      <x:c r="C32" s="1" t="str">
        <x:v>CartItem</x:v>
      </x:c>
      <x:c r="D32" s="1" t="str">
        <x:v>Thêm mục giỏ</x:v>
      </x:c>
      <x:c r="E32" s="1" t="str">
        <x:v>POST</x:v>
      </x:c>
      <x:c r="F32" s="1" t="str">
        <x:v>/api/v1/cart/items</x:v>
      </x:c>
      <x:c r="G32" s="1" t="str">
        <x:v>Customer</x:v>
      </x:c>
      <x:c r="H32" s="1" t="str">
        <x:v>Create</x:v>
      </x:c>
    </x:row>
    <x:row r="33" ht="22" customHeight="1">
      <x:c r="A33" s="1" t="str">
        <x:v>Thành viên 4</x:v>
      </x:c>
      <x:c r="B33" s="1" t="str">
        <x:v>Giỏ hàng</x:v>
      </x:c>
      <x:c r="C33" s="1" t="str">
        <x:v>CartItem</x:v>
      </x:c>
      <x:c r="D33" s="1" t="str">
        <x:v>Sửa số lượng</x:v>
      </x:c>
      <x:c r="E33" s="1" t="str">
        <x:v>PUT</x:v>
      </x:c>
      <x:c r="F33" s="1" t="str">
        <x:v>/api/v1/cart/items/{id}</x:v>
      </x:c>
      <x:c r="G33" s="1" t="str">
        <x:v>Customer</x:v>
      </x:c>
      <x:c r="H33" s="1" t="str">
        <x:v>Update</x:v>
      </x:c>
    </x:row>
    <x:row r="34" ht="22" customHeight="1">
      <x:c r="A34" s="1" t="str">
        <x:v>Thành viên 4</x:v>
      </x:c>
      <x:c r="B34" s="1" t="str">
        <x:v>Giỏ hàng</x:v>
      </x:c>
      <x:c r="C34" s="1" t="str">
        <x:v>CartItem</x:v>
      </x:c>
      <x:c r="D34" s="1" t="str">
        <x:v>Xóa mục giỏ</x:v>
      </x:c>
      <x:c r="E34" s="1" t="str">
        <x:v>DELETE</x:v>
      </x:c>
      <x:c r="F34" s="1" t="str">
        <x:v>/api/v1/cart/items/{id}</x:v>
      </x:c>
      <x:c r="G34" s="1" t="str">
        <x:v>Customer</x:v>
      </x:c>
      <x:c r="H34" s="1" t="str">
        <x:v>Delete</x:v>
      </x:c>
    </x:row>
    <x:row r="35" ht="22" customHeight="1">
      <x:c r="A35" s="1" t="str">
        <x:v>Thành viên 4</x:v>
      </x:c>
      <x:c r="B35" s="1" t="str">
        <x:v>Đơn hàng</x:v>
      </x:c>
      <x:c r="C35" s="1" t="str"/>
      <x:c r="D35" s="1" t="str">
        <x:v>Danh sách đơn</x:v>
      </x:c>
      <x:c r="E35" s="1" t="str">
        <x:v>GET</x:v>
      </x:c>
      <x:c r="F35" s="1" t="str">
        <x:v>/api/v1/orders</x:v>
      </x:c>
      <x:c r="G35" s="1" t="str">
        <x:v>Customer/Admin</x:v>
      </x:c>
      <x:c r="H35" s="1" t="str">
        <x:v>Other</x:v>
      </x:c>
    </x:row>
    <x:row r="36" ht="22" customHeight="1">
      <x:c r="A36" s="1" t="str">
        <x:v>Thành viên 4</x:v>
      </x:c>
      <x:c r="B36" s="1" t="str">
        <x:v>Đơn hàng</x:v>
      </x:c>
      <x:c r="C36" s="1" t="str"/>
      <x:c r="D36" s="1" t="str">
        <x:v>Chi tiết đơn</x:v>
      </x:c>
      <x:c r="E36" s="1" t="str">
        <x:v>GET</x:v>
      </x:c>
      <x:c r="F36" s="1" t="str">
        <x:v>/api/v1/orders/{id}</x:v>
      </x:c>
      <x:c r="G36" s="1" t="str">
        <x:v>Customer/Admin</x:v>
      </x:c>
      <x:c r="H36" s="1" t="str">
        <x:v>Other</x:v>
      </x:c>
    </x:row>
    <x:row r="37" ht="22" customHeight="1">
      <x:c r="A37" s="1" t="str">
        <x:v>Thành viên 4</x:v>
      </x:c>
      <x:c r="B37" s="1" t="str">
        <x:v>Đơn hàng</x:v>
      </x:c>
      <x:c r="C37" s="1" t="str"/>
      <x:c r="D37" s="1" t="str">
        <x:v>Đặt hàng và giữ tồn</x:v>
      </x:c>
      <x:c r="E37" s="1" t="str">
        <x:v>POST</x:v>
      </x:c>
      <x:c r="F37" s="1" t="str">
        <x:v>/api/v1/orders</x:v>
      </x:c>
      <x:c r="G37" s="1" t="str">
        <x:v>Customer</x:v>
      </x:c>
      <x:c r="H37" s="1" t="str">
        <x:v>Other</x:v>
      </x:c>
    </x:row>
    <x:row r="38" ht="22" customHeight="1">
      <x:c r="A38" s="1" t="str">
        <x:v>Thành viên 4</x:v>
      </x:c>
      <x:c r="B38" s="1" t="str">
        <x:v>Đơn hàng</x:v>
      </x:c>
      <x:c r="C38" s="1" t="str"/>
      <x:c r="D38" s="1" t="str">
        <x:v>Hủy đơn chưa trả</x:v>
      </x:c>
      <x:c r="E38" s="1" t="str">
        <x:v>POST</x:v>
      </x:c>
      <x:c r="F38" s="1" t="str">
        <x:v>/api/v1/orders/{id}/cancel</x:v>
      </x:c>
      <x:c r="G38" s="1" t="str">
        <x:v>Customer/Admin</x:v>
      </x:c>
      <x:c r="H38" s="1" t="str">
        <x:v>Other</x:v>
      </x:c>
    </x:row>
    <x:row r="39" ht="22" customHeight="1">
      <x:c r="A39" s="1" t="str">
        <x:v>Thành viên 4</x:v>
      </x:c>
      <x:c r="B39" s="1" t="str">
        <x:v>Đơn hàng</x:v>
      </x:c>
      <x:c r="C39" s="1" t="str"/>
      <x:c r="D39" s="1" t="str">
        <x:v>Chuyển giao/vận đơn</x:v>
      </x:c>
      <x:c r="E39" s="1" t="str">
        <x:v>PUT</x:v>
      </x:c>
      <x:c r="F39" s="1" t="str">
        <x:v>/api/v1/orders/{id}/status</x:v>
      </x:c>
      <x:c r="G39" s="1" t="str">
        <x:v>Admin</x:v>
      </x:c>
      <x:c r="H39" s="1" t="str">
        <x:v>Other</x:v>
      </x:c>
    </x:row>
    <x:row r="40" ht="22" customHeight="1">
      <x:c r="A40" s="1" t="str">
        <x:v>Thành viên 5</x:v>
      </x:c>
      <x:c r="B40" s="1" t="str">
        <x:v>Voucher</x:v>
      </x:c>
      <x:c r="C40" s="1" t="str">
        <x:v>Voucher</x:v>
      </x:c>
      <x:c r="D40" s="1" t="str">
        <x:v>Danh sách voucher</x:v>
      </x:c>
      <x:c r="E40" s="1" t="str">
        <x:v>GET</x:v>
      </x:c>
      <x:c r="F40" s="1" t="str">
        <x:v>/api/v1/vouchers</x:v>
      </x:c>
      <x:c r="G40" s="1" t="str">
        <x:v>Admin</x:v>
      </x:c>
      <x:c r="H40" s="1" t="str">
        <x:v>Read</x:v>
      </x:c>
    </x:row>
    <x:row r="41" ht="22" customHeight="1">
      <x:c r="A41" s="1" t="str">
        <x:v>Thành viên 5</x:v>
      </x:c>
      <x:c r="B41" s="1" t="str">
        <x:v>Voucher</x:v>
      </x:c>
      <x:c r="C41" s="1" t="str">
        <x:v>Voucher</x:v>
      </x:c>
      <x:c r="D41" s="1" t="str">
        <x:v>Chi tiết voucher</x:v>
      </x:c>
      <x:c r="E41" s="1" t="str">
        <x:v>GET</x:v>
      </x:c>
      <x:c r="F41" s="1" t="str">
        <x:v>/api/v1/vouchers/{id}</x:v>
      </x:c>
      <x:c r="G41" s="1" t="str">
        <x:v>Admin</x:v>
      </x:c>
      <x:c r="H41" s="1" t="str">
        <x:v>Read</x:v>
      </x:c>
    </x:row>
    <x:row r="42" ht="22" customHeight="1">
      <x:c r="A42" s="1" t="str">
        <x:v>Thành viên 5</x:v>
      </x:c>
      <x:c r="B42" s="1" t="str">
        <x:v>Voucher</x:v>
      </x:c>
      <x:c r="C42" s="1" t="str">
        <x:v>Voucher</x:v>
      </x:c>
      <x:c r="D42" s="1" t="str">
        <x:v>Thêm voucher</x:v>
      </x:c>
      <x:c r="E42" s="1" t="str">
        <x:v>POST</x:v>
      </x:c>
      <x:c r="F42" s="1" t="str">
        <x:v>/api/v1/vouchers</x:v>
      </x:c>
      <x:c r="G42" s="1" t="str">
        <x:v>Admin</x:v>
      </x:c>
      <x:c r="H42" s="1" t="str">
        <x:v>Create</x:v>
      </x:c>
    </x:row>
    <x:row r="43" ht="22" customHeight="1">
      <x:c r="A43" s="1" t="str">
        <x:v>Thành viên 5</x:v>
      </x:c>
      <x:c r="B43" s="1" t="str">
        <x:v>Voucher</x:v>
      </x:c>
      <x:c r="C43" s="1" t="str">
        <x:v>Voucher</x:v>
      </x:c>
      <x:c r="D43" s="1" t="str">
        <x:v>Sửa voucher</x:v>
      </x:c>
      <x:c r="E43" s="1" t="str">
        <x:v>PUT</x:v>
      </x:c>
      <x:c r="F43" s="1" t="str">
        <x:v>/api/v1/vouchers/{id}</x:v>
      </x:c>
      <x:c r="G43" s="1" t="str">
        <x:v>Admin</x:v>
      </x:c>
      <x:c r="H43" s="1" t="str">
        <x:v>Update</x:v>
      </x:c>
    </x:row>
    <x:row r="44" ht="22" customHeight="1">
      <x:c r="A44" s="1" t="str">
        <x:v>Thành viên 5</x:v>
      </x:c>
      <x:c r="B44" s="1" t="str">
        <x:v>Voucher</x:v>
      </x:c>
      <x:c r="C44" s="1" t="str">
        <x:v>Voucher</x:v>
      </x:c>
      <x:c r="D44" s="1" t="str">
        <x:v>Ngừng voucher</x:v>
      </x:c>
      <x:c r="E44" s="1" t="str">
        <x:v>DELETE</x:v>
      </x:c>
      <x:c r="F44" s="1" t="str">
        <x:v>/api/v1/vouchers/{id}</x:v>
      </x:c>
      <x:c r="G44" s="1" t="str">
        <x:v>Admin</x:v>
      </x:c>
      <x:c r="H44" s="1" t="str">
        <x:v>Delete</x:v>
      </x:c>
    </x:row>
    <x:row r="45" ht="22" customHeight="1">
      <x:c r="A45" s="1" t="str">
        <x:v>Thành viên 5</x:v>
      </x:c>
      <x:c r="B45" s="1" t="str">
        <x:v>Đánh giá</x:v>
      </x:c>
      <x:c r="C45" s="1" t="str">
        <x:v>Review</x:v>
      </x:c>
      <x:c r="D45" s="1" t="str">
        <x:v>Danh sách đánh giá</x:v>
      </x:c>
      <x:c r="E45" s="1" t="str">
        <x:v>GET</x:v>
      </x:c>
      <x:c r="F45" s="1" t="str">
        <x:v>/api/v1/products/{id}/reviews</x:v>
      </x:c>
      <x:c r="G45" s="1" t="str">
        <x:v>Public</x:v>
      </x:c>
      <x:c r="H45" s="1" t="str">
        <x:v>Read</x:v>
      </x:c>
    </x:row>
    <x:row r="46" ht="22" customHeight="1">
      <x:c r="A46" s="1" t="str">
        <x:v>Thành viên 5</x:v>
      </x:c>
      <x:c r="B46" s="1" t="str">
        <x:v>Đánh giá</x:v>
      </x:c>
      <x:c r="C46" s="1" t="str">
        <x:v>Review</x:v>
      </x:c>
      <x:c r="D46" s="1" t="str">
        <x:v>Chi tiết đánh giá</x:v>
      </x:c>
      <x:c r="E46" s="1" t="str">
        <x:v>GET</x:v>
      </x:c>
      <x:c r="F46" s="1" t="str">
        <x:v>/api/v1/reviews/{id}</x:v>
      </x:c>
      <x:c r="G46" s="1" t="str">
        <x:v>Public</x:v>
      </x:c>
      <x:c r="H46" s="1" t="str">
        <x:v>Read</x:v>
      </x:c>
    </x:row>
    <x:row r="47" ht="22" customHeight="1">
      <x:c r="A47" s="1" t="str">
        <x:v>Thành viên 5</x:v>
      </x:c>
      <x:c r="B47" s="1" t="str">
        <x:v>Đánh giá</x:v>
      </x:c>
      <x:c r="C47" s="1" t="str">
        <x:v>Review</x:v>
      </x:c>
      <x:c r="D47" s="1" t="str">
        <x:v>Thêm đánh giá sau mua</x:v>
      </x:c>
      <x:c r="E47" s="1" t="str">
        <x:v>POST</x:v>
      </x:c>
      <x:c r="F47" s="1" t="str">
        <x:v>/api/v1/reviews</x:v>
      </x:c>
      <x:c r="G47" s="1" t="str">
        <x:v>Customer</x:v>
      </x:c>
      <x:c r="H47" s="1" t="str">
        <x:v>Create</x:v>
      </x:c>
    </x:row>
    <x:row r="48" ht="22" customHeight="1">
      <x:c r="A48" s="1" t="str">
        <x:v>Thành viên 5</x:v>
      </x:c>
      <x:c r="B48" s="1" t="str">
        <x:v>Đánh giá</x:v>
      </x:c>
      <x:c r="C48" s="1" t="str">
        <x:v>Review</x:v>
      </x:c>
      <x:c r="D48" s="1" t="str">
        <x:v>Sửa đánh giá</x:v>
      </x:c>
      <x:c r="E48" s="1" t="str">
        <x:v>PUT</x:v>
      </x:c>
      <x:c r="F48" s="1" t="str">
        <x:v>/api/v1/reviews/{id}</x:v>
      </x:c>
      <x:c r="G48" s="1" t="str">
        <x:v>Customer</x:v>
      </x:c>
      <x:c r="H48" s="1" t="str">
        <x:v>Update</x:v>
      </x:c>
    </x:row>
    <x:row r="49" ht="22" customHeight="1">
      <x:c r="A49" s="1" t="str">
        <x:v>Thành viên 5</x:v>
      </x:c>
      <x:c r="B49" s="1" t="str">
        <x:v>Đánh giá</x:v>
      </x:c>
      <x:c r="C49" s="1" t="str">
        <x:v>Review</x:v>
      </x:c>
      <x:c r="D49" s="1" t="str">
        <x:v>Xóa đánh giá</x:v>
      </x:c>
      <x:c r="E49" s="1" t="str">
        <x:v>DELETE</x:v>
      </x:c>
      <x:c r="F49" s="1" t="str">
        <x:v>/api/v1/reviews/{id}</x:v>
      </x:c>
      <x:c r="G49" s="1" t="str">
        <x:v>Owner/Admin</x:v>
      </x:c>
      <x:c r="H49" s="1" t="str">
        <x:v>Delete</x:v>
      </x:c>
    </x:row>
    <x:row r="50" ht="22" customHeight="1">
      <x:c r="A50" s="1" t="str">
        <x:v>Thành viên 5</x:v>
      </x:c>
      <x:c r="B50" s="1" t="str">
        <x:v>Thanh toán</x:v>
      </x:c>
      <x:c r="C50" s="1" t="str"/>
      <x:c r="D50" s="1" t="str">
        <x:v>Tạo Stripe Checkout Session</x:v>
      </x:c>
      <x:c r="E50" s="1" t="str">
        <x:v>POST</x:v>
      </x:c>
      <x:c r="F50" s="1" t="str">
        <x:v>/api/v1/payments/orders/{id}/session</x:v>
      </x:c>
      <x:c r="G50" s="1" t="str">
        <x:v>Customer</x:v>
      </x:c>
      <x:c r="H50" s="1" t="str">
        <x:v>Other</x:v>
      </x:c>
    </x:row>
    <x:row r="51" ht="22" customHeight="1">
      <x:c r="A51" s="1" t="str">
        <x:v>Thành viên 5</x:v>
      </x:c>
      <x:c r="B51" s="1" t="str">
        <x:v>Thanh toán</x:v>
      </x:c>
      <x:c r="C51" s="1" t="str"/>
      <x:c r="D51" s="1" t="str">
        <x:v>Giả lập thành công/thất bại</x:v>
      </x:c>
      <x:c r="E51" s="1" t="str">
        <x:v>POST</x:v>
      </x:c>
      <x:c r="F51" s="1" t="str">
        <x:v>/api/v1/payments/mock/orders/{id}/complete</x:v>
      </x:c>
      <x:c r="G51" s="1" t="str">
        <x:v>Customer/Dev</x:v>
      </x:c>
      <x:c r="H51" s="1" t="str">
        <x:v>Other</x:v>
      </x:c>
    </x:row>
    <x:row r="52" ht="22" customHeight="1">
      <x:c r="A52" s="1" t="str">
        <x:v>Thành viên 5</x:v>
      </x:c>
      <x:c r="B52" s="1" t="str">
        <x:v>Thanh toán</x:v>
      </x:c>
      <x:c r="C52" s="1" t="str"/>
      <x:c r="D52" s="1" t="str">
        <x:v>Xử lý Stripe webhook</x:v>
      </x:c>
      <x:c r="E52" s="1" t="str">
        <x:v>POST</x:v>
      </x:c>
      <x:c r="F52" s="1" t="str">
        <x:v>/api/v1/payments/stripe/webhook</x:v>
      </x:c>
      <x:c r="G52" s="1" t="str">
        <x:v>Stripe</x:v>
      </x:c>
      <x:c r="H52" s="1" t="str">
        <x:v>Other</x:v>
      </x:c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</x:sheetData>
  <x:pageMargins left="0.7" right="0.7" top="0.75" bottom="0.75" header="0.3" footer="0.3"/>
  <x:tableParts count="1">
    <x:tablePart xmlns:r="http://schemas.openxmlformats.org/officeDocument/2006/relationships" r:id="R1a43d487b6c14d73"/>
  </x:tableParts>
</x:worksheet>
</file>